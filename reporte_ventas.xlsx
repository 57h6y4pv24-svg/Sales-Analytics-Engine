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invitado/Desktop/Excel work /"/>
    </mc:Choice>
  </mc:AlternateContent>
  <xr:revisionPtr revIDLastSave="0" documentId="8_{00E6BB3A-DDDE-494A-AB5C-F6DA85FCF05D}" xr6:coauthVersionLast="47" xr6:coauthVersionMax="47" xr10:uidLastSave="{00000000-0000-0000-0000-000000000000}"/>
  <bookViews>
    <workbookView xWindow="0" yWindow="660" windowWidth="29400" windowHeight="16980" activeTab="1" xr2:uid="{00000000-000D-0000-FFFF-FFFF00000000}"/>
  </bookViews>
  <sheets>
    <sheet name="Cover Page" sheetId="7" r:id="rId1"/>
    <sheet name="Executive Summary" sheetId="6" r:id="rId2"/>
    <sheet name="Dashboard" sheetId="8" r:id="rId3"/>
    <sheet name="Original Data" sheetId="1" r:id="rId4"/>
    <sheet name="Products" sheetId="2" r:id="rId5"/>
    <sheet name="Customers" sheetId="3" r:id="rId6"/>
    <sheet name="Categories" sheetId="4" r:id="rId7"/>
    <sheet name="Sales by Month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8" l="1"/>
  <c r="I5" i="8"/>
  <c r="E5" i="8"/>
  <c r="A5" i="8"/>
  <c r="G11" i="6"/>
  <c r="D11" i="6"/>
  <c r="A11" i="6"/>
  <c r="G7" i="6"/>
  <c r="D7" i="6"/>
  <c r="A7" i="6"/>
</calcChain>
</file>

<file path=xl/sharedStrings.xml><?xml version="1.0" encoding="utf-8"?>
<sst xmlns="http://schemas.openxmlformats.org/spreadsheetml/2006/main" count="128" uniqueCount="71">
  <si>
    <t>Juan</t>
  </si>
  <si>
    <t>Shampoo</t>
  </si>
  <si>
    <t>January</t>
  </si>
  <si>
    <t>María</t>
  </si>
  <si>
    <t>Skin Care</t>
  </si>
  <si>
    <t>Pedro</t>
  </si>
  <si>
    <t>February</t>
  </si>
  <si>
    <t>March</t>
  </si>
  <si>
    <t>Ana</t>
  </si>
  <si>
    <t>Carlos</t>
  </si>
  <si>
    <t>April</t>
  </si>
  <si>
    <t>May</t>
  </si>
  <si>
    <t>━━━━━━━━━━━━━━━━━━━━━━━━━━━━━━━━━━━━━━━━━━━━━━━━━━━━━━━</t>
  </si>
  <si>
    <t>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</si>
  <si>
    <t>SALES ANALYSIS REPORT</t>
  </si>
  <si>
    <t>Comprehensive Commercial Performance Analysis</t>
  </si>
  <si>
    <t>Period: January - May 2024</t>
  </si>
  <si>
    <t>📋 Document Information</t>
  </si>
  <si>
    <t>Prepared by: Gerardo Garcia</t>
  </si>
  <si>
    <t>Department: Commercial Intelligence</t>
  </si>
  <si>
    <t>Date of Preparation: May 11, 2026</t>
  </si>
  <si>
    <t>🔒 CONFIDENTIAL - INTERNAL USE ONLY</t>
  </si>
  <si>
    <t>📊 EXECUTIVE SUMMARY - SALES ANALYSIS</t>
  </si>
  <si>
    <t>Period: January - May 2024 | Generated: May 11, 2026</t>
  </si>
  <si>
    <t>🎯 KEY PERFORMANCE INDICATORS (KPIs)</t>
  </si>
  <si>
    <t>💰 TOTAL SALES</t>
  </si>
  <si>
    <t>🏆 BEST-SELLING PRODUCT</t>
  </si>
  <si>
    <t>👤 TOP CUSTOMER</t>
  </si>
  <si>
    <t>Accumulated revenue for the period</t>
  </si>
  <si>
    <t>11 units sold</t>
  </si>
  <si>
    <t>Q360 in purchases</t>
  </si>
  <si>
    <t>📦 MOST PROFITABLE CATEGORY</t>
  </si>
  <si>
    <t>📋 TOTAL TRANSACTIONS</t>
  </si>
  <si>
    <t>💵 AVERAGE TICKET</t>
  </si>
  <si>
    <t>Q840 (63% of total)</t>
  </si>
  <si>
    <t>Registered operations</t>
  </si>
  <si>
    <t>Average value per sale</t>
  </si>
  <si>
    <t>💡 KEY INSIGHTS</t>
  </si>
  <si>
    <t>📈 Positive Trend: Sales show a peak in April (Q420), representing 31% of the period's total.</t>
  </si>
  <si>
    <t>👥 Customer Concentration: Top 2 customers (Ana and María) account for 53% of total sales, indicating dependency.</t>
  </si>
  <si>
    <t>🏷️ Category Dominance: Skin Care dominates with 63% of sales, while Personal Care has growth potential.</t>
  </si>
  <si>
    <t>📦 Product Opportunity: Sunscreen has the lowest volume (4 units) but high unit price (Q120), ideal for promotions.</t>
  </si>
  <si>
    <t>🎯 STRATEGIC RECOMMENDATIONS</t>
  </si>
  <si>
    <t>1️⃣ BOOST SUNSCREEN WITH BUNDLE STRATEGY</t>
  </si>
  <si>
    <t xml:space="preserve">     → Action: Create Sunscreen + Shampoo combo packages with 15% discount. Goal: Increase Sunscreen sales by 50%.</t>
  </si>
  <si>
    <t>2️⃣ LOYALTY PROGRAM FOR VIP CUSTOMERS</t>
  </si>
  <si>
    <t xml:space="preserve">     → Action: Implement "Star Customer" program with 5% cashback for purchases &gt;Q200. Prioritize retention of Ana (Q360) and María (Q345).</t>
  </si>
  <si>
    <t>3️⃣ STRATEGIC EXPANSION OF SKIN CARE CATEGORY</t>
  </si>
  <si>
    <t xml:space="preserve">     → Action: Introduce 2 new Skin Care products (Moisturizing Cream, Vitamin C Serum). Projection: +25% in category sales.</t>
  </si>
  <si>
    <t>4️⃣ DIVERSIFY CUSTOMER BASE</t>
  </si>
  <si>
    <t xml:space="preserve">     → Action: Launch "Bring a Friend" referral campaign with Q20 credit. Goal: Reduce current concentration and acquire 10 new customers/month.</t>
  </si>
  <si>
    <t>📋 Values update dynamically from support data sheets</t>
  </si>
  <si>
    <t>🔒 CONFIDENTIAL - For internal use only</t>
  </si>
  <si>
    <t>📊 SALES DASHBOARD - COMPLETE VISUAL ANALYSIS</t>
  </si>
  <si>
    <t>Period: January - May 2024 | Update: Real Time</t>
  </si>
  <si>
    <t>📋 TRANSACTIONS</t>
  </si>
  <si>
    <t>👥 ACTIVE CUSTOMERS</t>
  </si>
  <si>
    <t>Month</t>
  </si>
  <si>
    <t>Sales</t>
  </si>
  <si>
    <t>📊 Interactive Dashboard | Charts update automatically when source data is modified</t>
  </si>
  <si>
    <t>Date</t>
  </si>
  <si>
    <t>Customer</t>
  </si>
  <si>
    <t>Product</t>
  </si>
  <si>
    <t>Category</t>
  </si>
  <si>
    <t>Quantity</t>
  </si>
  <si>
    <t>Unit Price</t>
  </si>
  <si>
    <t>Total Sale</t>
  </si>
  <si>
    <t>Personal Care</t>
  </si>
  <si>
    <t>Sunscreen</t>
  </si>
  <si>
    <t>Facial Soap</t>
  </si>
  <si>
    <t>Total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</si>
</sst>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\-mm\-dd\ hh:mm:ss"/>
    <numFmt numFmtId="166" formatCode="&quot;Q&quot;#,##0"/>
    <numFmt numFmtId="167" formatCode="&quot;Q&quot;#,##0.00"/>
  </numFmts>
  <fonts count="3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Calibri"/>
    </font>
    <font>
      <b/>
      <sz val="14"/>
      <color rgb="FF1F4E79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36"/>
      <color rgb="FF1F4E79"/>
      <name val="Calibri"/>
      <family val="2"/>
      <scheme val="minor"/>
    </font>
    <font>
      <i/>
      <sz val="18"/>
      <color rgb="FF2E75B6"/>
      <name val="Calibri"/>
      <family val="2"/>
      <scheme val="minor"/>
    </font>
    <font>
      <sz val="11"/>
      <color rgb="FF1F4E79"/>
      <name val="Calibri"/>
      <family val="2"/>
      <scheme val="minor"/>
    </font>
    <font>
      <sz val="14"/>
      <color rgb="FF404040"/>
      <name val="Calibri"/>
      <family val="2"/>
      <scheme val="minor"/>
    </font>
    <font>
      <sz val="12"/>
      <color rgb="FF1F4E7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rgb="FFFFFFFF"/>
      <name val="Calibri"/>
      <family val="2"/>
      <scheme val="minor"/>
    </font>
    <font>
      <b/>
      <sz val="28"/>
      <color rgb="FF217346"/>
      <name val="Calibri"/>
      <family val="2"/>
      <scheme val="minor"/>
    </font>
    <font>
      <sz val="9"/>
      <color rgb="FF595959"/>
      <name val="Calibri"/>
      <family val="2"/>
      <scheme val="minor"/>
    </font>
    <font>
      <b/>
      <sz val="28"/>
      <color rgb="FFC65911"/>
      <name val="Calibri"/>
      <family val="2"/>
      <scheme val="minor"/>
    </font>
    <font>
      <b/>
      <sz val="28"/>
      <color rgb="FF7030A0"/>
      <name val="Calibri"/>
      <family val="2"/>
      <scheme val="minor"/>
    </font>
    <font>
      <b/>
      <sz val="28"/>
      <color rgb="FF1F4E79"/>
      <name val="Calibri"/>
      <family val="2"/>
      <scheme val="minor"/>
    </font>
    <font>
      <b/>
      <sz val="28"/>
      <color rgb="FF008080"/>
      <name val="Calibri"/>
      <family val="2"/>
      <scheme val="minor"/>
    </font>
    <font>
      <b/>
      <sz val="28"/>
      <color rgb="FFC00000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217346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1"/>
      <color rgb="FFC65911"/>
      <name val="Calibri"/>
      <family val="2"/>
      <scheme val="minor"/>
    </font>
    <font>
      <i/>
      <sz val="9"/>
      <color rgb="FF808080"/>
      <name val="Calibri"/>
      <family val="2"/>
      <scheme val="minor"/>
    </font>
    <font>
      <b/>
      <sz val="9"/>
      <color rgb="FFC0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20"/>
      <color rgb="FF217346"/>
      <name val="Calibri"/>
      <family val="2"/>
      <scheme val="minor"/>
    </font>
    <font>
      <b/>
      <sz val="20"/>
      <color rgb="FF2E75B6"/>
      <name val="Calibri"/>
      <family val="2"/>
      <scheme val="minor"/>
    </font>
    <font>
      <b/>
      <sz val="20"/>
      <color rgb="FFC65911"/>
      <name val="Calibri"/>
      <family val="2"/>
      <scheme val="minor"/>
    </font>
    <font>
      <b/>
      <sz val="20"/>
      <color rgb="FF7030A0"/>
      <name val="Calibri"/>
      <family val="2"/>
      <scheme val="minor"/>
    </font>
    <font>
      <sz val="11"/>
      <color rgb="FFF2F2F2"/>
      <name val="Calibri"/>
      <family val="2"/>
      <scheme val="minor"/>
    </font>
    <font>
      <b/>
      <sz val="11"/>
      <color rgb="FFFFFFFF"/>
      <name val="Calibri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E0F2F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DEEBF7"/>
        <bgColor indexed="64"/>
      </patternFill>
    </fill>
    <fill>
      <patternFill patternType="solid">
        <fgColor rgb="FFF2F2F2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/>
    <xf numFmtId="0" fontId="3" fillId="0" borderId="0" xfId="0" applyFont="1"/>
    <xf numFmtId="0" fontId="0" fillId="2" borderId="1" xfId="0" applyFill="1" applyBorder="1"/>
    <xf numFmtId="166" fontId="0" fillId="2" borderId="1" xfId="0" applyNumberFormat="1" applyFill="1" applyBorder="1"/>
    <xf numFmtId="0" fontId="0" fillId="3" borderId="0" xfId="0" applyFill="1"/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9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0" fillId="4" borderId="0" xfId="0" applyFill="1"/>
    <xf numFmtId="0" fontId="0" fillId="4" borderId="0" xfId="0" applyFill="1"/>
    <xf numFmtId="0" fontId="12" fillId="4" borderId="0" xfId="0" applyFont="1" applyFill="1" applyAlignment="1">
      <alignment horizontal="center"/>
    </xf>
    <xf numFmtId="0" fontId="0" fillId="5" borderId="0" xfId="0" applyFill="1"/>
    <xf numFmtId="0" fontId="13" fillId="5" borderId="0" xfId="0" applyFont="1" applyFill="1" applyAlignment="1">
      <alignment horizontal="center"/>
    </xf>
    <xf numFmtId="0" fontId="0" fillId="6" borderId="0" xfId="0" applyFill="1"/>
    <xf numFmtId="0" fontId="0" fillId="7" borderId="0" xfId="0" applyFill="1" applyBorder="1"/>
    <xf numFmtId="0" fontId="0" fillId="7" borderId="8" xfId="0" applyFill="1" applyBorder="1"/>
    <xf numFmtId="0" fontId="4" fillId="6" borderId="10" xfId="0" applyFont="1" applyFill="1" applyBorder="1" applyAlignment="1">
      <alignment horizontal="center"/>
    </xf>
    <xf numFmtId="166" fontId="14" fillId="7" borderId="11" xfId="0" applyNumberFormat="1" applyFont="1" applyFill="1" applyBorder="1" applyAlignment="1">
      <alignment horizontal="center"/>
    </xf>
    <xf numFmtId="0" fontId="15" fillId="7" borderId="12" xfId="0" applyFont="1" applyFill="1" applyBorder="1" applyAlignment="1">
      <alignment horizontal="center"/>
    </xf>
    <xf numFmtId="0" fontId="0" fillId="6" borderId="13" xfId="0" applyFill="1" applyBorder="1"/>
    <xf numFmtId="0" fontId="0" fillId="7" borderId="14" xfId="0" applyFill="1" applyBorder="1"/>
    <xf numFmtId="0" fontId="0" fillId="7" borderId="15" xfId="0" applyFill="1" applyBorder="1"/>
    <xf numFmtId="0" fontId="0" fillId="9" borderId="0" xfId="0" applyFill="1" applyBorder="1"/>
    <xf numFmtId="0" fontId="0" fillId="9" borderId="3" xfId="0" applyFill="1" applyBorder="1"/>
    <xf numFmtId="0" fontId="0" fillId="9" borderId="8" xfId="0" applyFill="1" applyBorder="1"/>
    <xf numFmtId="0" fontId="0" fillId="9" borderId="9" xfId="0" applyFill="1" applyBorder="1"/>
    <xf numFmtId="0" fontId="4" fillId="8" borderId="10" xfId="0" applyFont="1" applyFill="1" applyBorder="1" applyAlignment="1">
      <alignment horizontal="center"/>
    </xf>
    <xf numFmtId="0" fontId="16" fillId="9" borderId="11" xfId="0" applyFont="1" applyFill="1" applyBorder="1" applyAlignment="1">
      <alignment horizontal="center"/>
    </xf>
    <xf numFmtId="0" fontId="15" fillId="9" borderId="12" xfId="0" applyFont="1" applyFill="1" applyBorder="1" applyAlignment="1">
      <alignment horizontal="center"/>
    </xf>
    <xf numFmtId="0" fontId="0" fillId="8" borderId="13" xfId="0" applyFill="1" applyBorder="1"/>
    <xf numFmtId="0" fontId="0" fillId="9" borderId="14" xfId="0" applyFill="1" applyBorder="1"/>
    <xf numFmtId="0" fontId="0" fillId="9" borderId="15" xfId="0" applyFill="1" applyBorder="1"/>
    <xf numFmtId="0" fontId="0" fillId="11" borderId="0" xfId="0" applyFill="1" applyBorder="1"/>
    <xf numFmtId="0" fontId="0" fillId="11" borderId="8" xfId="0" applyFill="1" applyBorder="1"/>
    <xf numFmtId="0" fontId="4" fillId="10" borderId="10" xfId="0" applyFont="1" applyFill="1" applyBorder="1" applyAlignment="1">
      <alignment horizontal="center"/>
    </xf>
    <xf numFmtId="0" fontId="17" fillId="11" borderId="11" xfId="0" applyFont="1" applyFill="1" applyBorder="1" applyAlignment="1">
      <alignment horizontal="center"/>
    </xf>
    <xf numFmtId="0" fontId="15" fillId="11" borderId="12" xfId="0" applyFont="1" applyFill="1" applyBorder="1" applyAlignment="1">
      <alignment horizontal="center"/>
    </xf>
    <xf numFmtId="0" fontId="0" fillId="10" borderId="13" xfId="0" applyFill="1" applyBorder="1"/>
    <xf numFmtId="0" fontId="0" fillId="11" borderId="14" xfId="0" applyFill="1" applyBorder="1"/>
    <xf numFmtId="0" fontId="0" fillId="11" borderId="15" xfId="0" applyFill="1" applyBorder="1"/>
    <xf numFmtId="0" fontId="0" fillId="12" borderId="0" xfId="0" applyFill="1" applyBorder="1"/>
    <xf numFmtId="0" fontId="0" fillId="12" borderId="8" xfId="0" applyFill="1" applyBorder="1"/>
    <xf numFmtId="0" fontId="4" fillId="4" borderId="10" xfId="0" applyFont="1" applyFill="1" applyBorder="1" applyAlignment="1">
      <alignment horizontal="center"/>
    </xf>
    <xf numFmtId="0" fontId="18" fillId="12" borderId="11" xfId="0" applyFont="1" applyFill="1" applyBorder="1" applyAlignment="1">
      <alignment horizontal="center"/>
    </xf>
    <xf numFmtId="0" fontId="15" fillId="12" borderId="12" xfId="0" applyFont="1" applyFill="1" applyBorder="1" applyAlignment="1">
      <alignment horizontal="center"/>
    </xf>
    <xf numFmtId="0" fontId="0" fillId="4" borderId="13" xfId="0" applyFill="1" applyBorder="1"/>
    <xf numFmtId="0" fontId="0" fillId="12" borderId="14" xfId="0" applyFill="1" applyBorder="1"/>
    <xf numFmtId="0" fontId="0" fillId="12" borderId="15" xfId="0" applyFill="1" applyBorder="1"/>
    <xf numFmtId="0" fontId="4" fillId="13" borderId="10" xfId="0" applyFont="1" applyFill="1" applyBorder="1" applyAlignment="1">
      <alignment horizontal="center"/>
    </xf>
    <xf numFmtId="0" fontId="19" fillId="14" borderId="11" xfId="0" applyFont="1" applyFill="1" applyBorder="1" applyAlignment="1">
      <alignment horizontal="center"/>
    </xf>
    <xf numFmtId="0" fontId="15" fillId="14" borderId="12" xfId="0" applyFont="1" applyFill="1" applyBorder="1" applyAlignment="1">
      <alignment horizontal="center"/>
    </xf>
    <xf numFmtId="0" fontId="0" fillId="13" borderId="13" xfId="0" applyFill="1" applyBorder="1"/>
    <xf numFmtId="0" fontId="0" fillId="14" borderId="14" xfId="0" applyFill="1" applyBorder="1"/>
    <xf numFmtId="0" fontId="0" fillId="14" borderId="15" xfId="0" applyFill="1" applyBorder="1"/>
    <xf numFmtId="0" fontId="4" fillId="15" borderId="10" xfId="0" applyFont="1" applyFill="1" applyBorder="1" applyAlignment="1">
      <alignment horizontal="center"/>
    </xf>
    <xf numFmtId="167" fontId="20" fillId="16" borderId="11" xfId="0" applyNumberFormat="1" applyFont="1" applyFill="1" applyBorder="1" applyAlignment="1">
      <alignment horizontal="center"/>
    </xf>
    <xf numFmtId="0" fontId="15" fillId="16" borderId="12" xfId="0" applyFont="1" applyFill="1" applyBorder="1" applyAlignment="1">
      <alignment horizontal="center"/>
    </xf>
    <xf numFmtId="0" fontId="0" fillId="15" borderId="13" xfId="0" applyFill="1" applyBorder="1"/>
    <xf numFmtId="0" fontId="0" fillId="16" borderId="14" xfId="0" applyFill="1" applyBorder="1"/>
    <xf numFmtId="0" fontId="0" fillId="16" borderId="15" xfId="0" applyFill="1" applyBorder="1"/>
    <xf numFmtId="0" fontId="21" fillId="5" borderId="0" xfId="0" applyFont="1" applyFill="1"/>
    <xf numFmtId="0" fontId="0" fillId="17" borderId="2" xfId="0" applyFill="1" applyBorder="1"/>
    <xf numFmtId="0" fontId="0" fillId="18" borderId="0" xfId="0" applyFill="1" applyBorder="1"/>
    <xf numFmtId="0" fontId="0" fillId="17" borderId="0" xfId="0" applyFill="1" applyBorder="1"/>
    <xf numFmtId="0" fontId="0" fillId="18" borderId="3" xfId="0" applyFill="1" applyBorder="1"/>
    <xf numFmtId="0" fontId="0" fillId="17" borderId="4" xfId="0" applyFont="1" applyFill="1" applyBorder="1"/>
    <xf numFmtId="0" fontId="0" fillId="18" borderId="5" xfId="0" applyFont="1" applyFill="1" applyBorder="1"/>
    <xf numFmtId="0" fontId="0" fillId="17" borderId="5" xfId="0" applyFont="1" applyFill="1" applyBorder="1"/>
    <xf numFmtId="0" fontId="0" fillId="18" borderId="6" xfId="0" applyFont="1" applyFill="1" applyBorder="1"/>
    <xf numFmtId="0" fontId="0" fillId="17" borderId="7" xfId="0" applyFill="1" applyBorder="1"/>
    <xf numFmtId="0" fontId="0" fillId="18" borderId="8" xfId="0" applyFill="1" applyBorder="1"/>
    <xf numFmtId="0" fontId="0" fillId="17" borderId="8" xfId="0" applyFill="1" applyBorder="1"/>
    <xf numFmtId="0" fontId="0" fillId="18" borderId="9" xfId="0" applyFill="1" applyBorder="1"/>
    <xf numFmtId="0" fontId="21" fillId="6" borderId="0" xfId="0" applyFont="1" applyFill="1"/>
    <xf numFmtId="0" fontId="0" fillId="7" borderId="2" xfId="0" applyFill="1" applyBorder="1"/>
    <xf numFmtId="0" fontId="22" fillId="7" borderId="4" xfId="0" applyFont="1" applyFill="1" applyBorder="1"/>
    <xf numFmtId="0" fontId="10" fillId="7" borderId="5" xfId="0" applyFont="1" applyFill="1" applyBorder="1"/>
    <xf numFmtId="0" fontId="23" fillId="11" borderId="5" xfId="0" applyFont="1" applyFill="1" applyBorder="1"/>
    <xf numFmtId="0" fontId="10" fillId="11" borderId="5" xfId="0" applyFont="1" applyFill="1" applyBorder="1"/>
    <xf numFmtId="0" fontId="24" fillId="12" borderId="5" xfId="0" applyFont="1" applyFill="1" applyBorder="1"/>
    <xf numFmtId="0" fontId="10" fillId="12" borderId="5" xfId="0" applyFont="1" applyFill="1" applyBorder="1"/>
    <xf numFmtId="0" fontId="25" fillId="9" borderId="5" xfId="0" applyFont="1" applyFill="1" applyBorder="1"/>
    <xf numFmtId="0" fontId="10" fillId="9" borderId="6" xfId="0" applyFont="1" applyFill="1" applyBorder="1"/>
    <xf numFmtId="0" fontId="0" fillId="7" borderId="7" xfId="0" applyFill="1" applyBorder="1"/>
    <xf numFmtId="0" fontId="7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0" fillId="6" borderId="16" xfId="0" applyFill="1" applyBorder="1"/>
    <xf numFmtId="0" fontId="0" fillId="7" borderId="17" xfId="0" applyFill="1" applyBorder="1"/>
    <xf numFmtId="0" fontId="28" fillId="6" borderId="10" xfId="0" applyFont="1" applyFill="1" applyBorder="1" applyAlignment="1">
      <alignment horizontal="center"/>
    </xf>
    <xf numFmtId="166" fontId="29" fillId="7" borderId="12" xfId="0" applyNumberFormat="1" applyFont="1" applyFill="1" applyBorder="1" applyAlignment="1">
      <alignment horizontal="center"/>
    </xf>
    <xf numFmtId="0" fontId="0" fillId="5" borderId="16" xfId="0" applyFill="1" applyBorder="1"/>
    <xf numFmtId="0" fontId="0" fillId="17" borderId="17" xfId="0" applyFill="1" applyBorder="1"/>
    <xf numFmtId="0" fontId="28" fillId="5" borderId="10" xfId="0" applyFont="1" applyFill="1" applyBorder="1" applyAlignment="1">
      <alignment horizontal="center"/>
    </xf>
    <xf numFmtId="0" fontId="30" fillId="17" borderId="12" xfId="0" applyFont="1" applyFill="1" applyBorder="1" applyAlignment="1">
      <alignment horizontal="center"/>
    </xf>
    <xf numFmtId="0" fontId="0" fillId="5" borderId="13" xfId="0" applyFill="1" applyBorder="1"/>
    <xf numFmtId="0" fontId="0" fillId="17" borderId="15" xfId="0" applyFill="1" applyBorder="1"/>
    <xf numFmtId="0" fontId="0" fillId="8" borderId="16" xfId="0" applyFill="1" applyBorder="1"/>
    <xf numFmtId="0" fontId="0" fillId="9" borderId="17" xfId="0" applyFill="1" applyBorder="1"/>
    <xf numFmtId="0" fontId="28" fillId="8" borderId="10" xfId="0" applyFont="1" applyFill="1" applyBorder="1" applyAlignment="1">
      <alignment horizontal="center"/>
    </xf>
    <xf numFmtId="167" fontId="31" fillId="9" borderId="12" xfId="0" applyNumberFormat="1" applyFont="1" applyFill="1" applyBorder="1" applyAlignment="1">
      <alignment horizontal="center"/>
    </xf>
    <xf numFmtId="0" fontId="0" fillId="10" borderId="16" xfId="0" applyFill="1" applyBorder="1"/>
    <xf numFmtId="0" fontId="0" fillId="11" borderId="17" xfId="0" applyFill="1" applyBorder="1"/>
    <xf numFmtId="0" fontId="28" fillId="10" borderId="10" xfId="0" applyFont="1" applyFill="1" applyBorder="1" applyAlignment="1">
      <alignment horizontal="center"/>
    </xf>
    <xf numFmtId="0" fontId="32" fillId="11" borderId="12" xfId="0" applyFont="1" applyFill="1" applyBorder="1" applyAlignment="1">
      <alignment horizontal="center"/>
    </xf>
    <xf numFmtId="0" fontId="33" fillId="18" borderId="0" xfId="0" applyFont="1" applyFill="1"/>
    <xf numFmtId="0" fontId="34" fillId="4" borderId="1" xfId="0" applyFont="1" applyFill="1" applyBorder="1" applyAlignment="1">
      <alignment horizontal="center" vertical="top"/>
    </xf>
    <xf numFmtId="165" fontId="0" fillId="17" borderId="1" xfId="0" applyNumberFormat="1" applyFill="1" applyBorder="1"/>
    <xf numFmtId="0" fontId="0" fillId="17" borderId="1" xfId="0" applyFill="1" applyBorder="1"/>
    <xf numFmtId="165" fontId="0" fillId="2" borderId="1" xfId="0" applyNumberFormat="1" applyFill="1" applyBorder="1"/>
    <xf numFmtId="166" fontId="0" fillId="17" borderId="1" xfId="0" applyNumberFormat="1" applyFill="1" applyBorder="1"/>
    <xf numFmtId="0" fontId="34" fillId="8" borderId="1" xfId="0" applyFont="1" applyFill="1" applyBorder="1" applyAlignment="1">
      <alignment horizontal="center" vertical="top"/>
    </xf>
    <xf numFmtId="0" fontId="2" fillId="9" borderId="1" xfId="0" applyFont="1" applyFill="1" applyBorder="1" applyAlignment="1">
      <alignment horizontal="center" vertical="top"/>
    </xf>
    <xf numFmtId="0" fontId="0" fillId="9" borderId="1" xfId="0" applyFill="1" applyBorder="1"/>
    <xf numFmtId="0" fontId="2" fillId="2" borderId="1" xfId="0" applyFont="1" applyFill="1" applyBorder="1" applyAlignment="1">
      <alignment horizontal="center" vertical="top"/>
    </xf>
    <xf numFmtId="0" fontId="34" fillId="10" borderId="1" xfId="0" applyFont="1" applyFill="1" applyBorder="1" applyAlignment="1">
      <alignment horizontal="center" vertical="top"/>
    </xf>
    <xf numFmtId="0" fontId="2" fillId="11" borderId="1" xfId="0" applyFont="1" applyFill="1" applyBorder="1" applyAlignment="1">
      <alignment horizontal="center" vertical="top"/>
    </xf>
    <xf numFmtId="166" fontId="0" fillId="11" borderId="1" xfId="0" applyNumberFormat="1" applyFill="1" applyBorder="1"/>
    <xf numFmtId="0" fontId="34" fillId="6" borderId="1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center" vertical="top"/>
    </xf>
    <xf numFmtId="166" fontId="0" fillId="7" borderId="1" xfId="0" applyNumberFormat="1" applyFill="1" applyBorder="1"/>
    <xf numFmtId="0" fontId="34" fillId="5" borderId="1" xfId="0" applyFont="1" applyFill="1" applyBorder="1" applyAlignment="1">
      <alignment horizontal="center" vertical="top"/>
    </xf>
    <xf numFmtId="0" fontId="2" fillId="17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🛒 PRODUCTOS MÁS VENDIDOS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G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Products!$B$1</c:f>
              <c:strCache>
                <c:ptCount val="1"/>
                <c:pt idx="0">
                  <c:v>Quantity</c:v>
                </c:pt>
              </c:strCache>
            </c:strRef>
          </c:tx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Products!$A$2:$A$4</c:f>
              <c:strCache>
                <c:ptCount val="3"/>
                <c:pt idx="0">
                  <c:v>Shampoo</c:v>
                </c:pt>
                <c:pt idx="1">
                  <c:v>Facial Soap</c:v>
                </c:pt>
                <c:pt idx="2">
                  <c:v>Sunscreen</c:v>
                </c:pt>
              </c:strCache>
            </c:strRef>
          </c:cat>
          <c:val>
            <c:numRef>
              <c:f>Products!$B$2:$B$4</c:f>
              <c:numCache>
                <c:formatCode>General</c:formatCode>
                <c:ptCount val="3"/>
                <c:pt idx="0">
                  <c:v>11</c:v>
                </c:pt>
                <c:pt idx="1">
                  <c:v>6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65-8C44-8F34-0A1D379182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497663"/>
        <c:axId val="806497215"/>
      </c:barChart>
      <c:catAx>
        <c:axId val="80649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T"/>
          </a:p>
        </c:txPr>
        <c:crossAx val="806497215"/>
        <c:crosses val="autoZero"/>
        <c:auto val="1"/>
        <c:lblAlgn val="ctr"/>
        <c:lblOffset val="100"/>
        <c:noMultiLvlLbl val="0"/>
      </c:catAx>
      <c:valAx>
        <c:axId val="80649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T"/>
          </a:p>
        </c:txPr>
        <c:crossAx val="8064976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👤 TOP CLIENTES POR VENTAS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GT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Customers!$B$1</c:f>
              <c:strCache>
                <c:ptCount val="1"/>
                <c:pt idx="0">
                  <c:v>Total Sales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numFmt formatCode="&quot;Q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Customers!$A$2:$A$6</c:f>
              <c:strCache>
                <c:ptCount val="5"/>
                <c:pt idx="0">
                  <c:v>Ana</c:v>
                </c:pt>
                <c:pt idx="1">
                  <c:v>María</c:v>
                </c:pt>
                <c:pt idx="2">
                  <c:v>Pedro</c:v>
                </c:pt>
                <c:pt idx="3">
                  <c:v>Juan</c:v>
                </c:pt>
                <c:pt idx="4">
                  <c:v>Carlos</c:v>
                </c:pt>
              </c:strCache>
            </c:strRef>
          </c:cat>
          <c:val>
            <c:numRef>
              <c:f>Customers!$B$2:$B$6</c:f>
              <c:numCache>
                <c:formatCode>"Q"#,##0</c:formatCode>
                <c:ptCount val="5"/>
                <c:pt idx="0">
                  <c:v>360</c:v>
                </c:pt>
                <c:pt idx="1">
                  <c:v>345</c:v>
                </c:pt>
                <c:pt idx="2">
                  <c:v>240</c:v>
                </c:pt>
                <c:pt idx="3">
                  <c:v>210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44-744C-BCA2-F6D86899D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6494527"/>
        <c:axId val="806501247"/>
      </c:barChart>
      <c:catAx>
        <c:axId val="8064945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T"/>
          </a:p>
        </c:txPr>
        <c:crossAx val="806501247"/>
        <c:crosses val="autoZero"/>
        <c:auto val="1"/>
        <c:lblAlgn val="ctr"/>
        <c:lblOffset val="100"/>
        <c:noMultiLvlLbl val="0"/>
      </c:catAx>
      <c:valAx>
        <c:axId val="80650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Q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T"/>
          </a:p>
        </c:txPr>
        <c:crossAx val="80649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📈 TENDENCIA DE VENTAS MENSUAL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G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Dashboard!$B$23</c:f>
              <c:strCache>
                <c:ptCount val="1"/>
                <c:pt idx="0">
                  <c:v>Sales</c:v>
                </c:pt>
              </c:strCache>
            </c:strRef>
          </c:tx>
          <c:spPr>
            <a:ln w="38100" cap="rnd">
              <a:solidFill>
                <a:srgbClr val="217346"/>
              </a:solidFill>
              <a:prstDash val="solid"/>
              <a:round/>
            </a:ln>
            <a:effectLst/>
          </c:spPr>
          <c:marker>
            <c:symbol val="circle"/>
            <c:size val="8"/>
            <c:spPr>
              <a:solidFill>
                <a:srgbClr val="217346"/>
              </a:solidFill>
              <a:ln w="9525">
                <a:solidFill>
                  <a:srgbClr val="217346"/>
                </a:solidFill>
                <a:prstDash val="solid"/>
              </a:ln>
              <a:effectLst/>
            </c:spPr>
          </c:marker>
          <c:dLbls>
            <c:numFmt formatCode="&quot;Q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Dashboard!$A$24:$A$28</c:f>
              <c:strCache>
                <c:ptCount val="5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</c:strCache>
            </c:strRef>
          </c:cat>
          <c:val>
            <c:numRef>
              <c:f>Dashboard!$B$24:$B$28</c:f>
              <c:numCache>
                <c:formatCode>General</c:formatCode>
                <c:ptCount val="5"/>
                <c:pt idx="0">
                  <c:v>210</c:v>
                </c:pt>
                <c:pt idx="1">
                  <c:v>270</c:v>
                </c:pt>
                <c:pt idx="2">
                  <c:v>240</c:v>
                </c:pt>
                <c:pt idx="3">
                  <c:v>420</c:v>
                </c:pt>
                <c:pt idx="4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8C-8B43-B68C-6D8D0C26B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00884031"/>
        <c:axId val="763621631"/>
      </c:lineChart>
      <c:catAx>
        <c:axId val="80088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T"/>
          </a:p>
        </c:txPr>
        <c:crossAx val="763621631"/>
        <c:crosses val="autoZero"/>
        <c:auto val="1"/>
        <c:lblAlgn val="ctr"/>
        <c:lblOffset val="100"/>
        <c:noMultiLvlLbl val="0"/>
      </c:catAx>
      <c:valAx>
        <c:axId val="763621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GT"/>
          </a:p>
        </c:txPr>
        <c:crossAx val="80088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📦 PARTICIPACIÓN POR CATEGORÍA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n-GT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Categories!$B$1</c:f>
              <c:strCache>
                <c:ptCount val="1"/>
                <c:pt idx="0">
                  <c:v>Total 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numFmt formatCode="&quot;Q&quot;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GT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Categories!$A$2:$A$3</c:f>
              <c:strCache>
                <c:ptCount val="2"/>
                <c:pt idx="0">
                  <c:v>Skin Care</c:v>
                </c:pt>
                <c:pt idx="1">
                  <c:v>Personal Care</c:v>
                </c:pt>
              </c:strCache>
            </c:strRef>
          </c:cat>
          <c:val>
            <c:numRef>
              <c:f>Categories!$B$2:$B$3</c:f>
              <c:numCache>
                <c:formatCode>"Q"#,##0</c:formatCode>
                <c:ptCount val="2"/>
                <c:pt idx="0">
                  <c:v>840</c:v>
                </c:pt>
                <c:pt idx="1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C-904C-99E4-2153EEF538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G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5</xdr:col>
      <xdr:colOff>381000</xdr:colOff>
      <xdr:row>23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66C0A8-73E6-612B-DE74-EDFEA02B13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6</xdr:row>
      <xdr:rowOff>38100</xdr:rowOff>
    </xdr:from>
    <xdr:to>
      <xdr:col>12</xdr:col>
      <xdr:colOff>381000</xdr:colOff>
      <xdr:row>22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C2188F-D7C8-D7F3-72A7-F993A825FC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24</xdr:row>
      <xdr:rowOff>38100</xdr:rowOff>
    </xdr:from>
    <xdr:to>
      <xdr:col>4</xdr:col>
      <xdr:colOff>774700</xdr:colOff>
      <xdr:row>39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0687A8A-A1C5-8DF0-E107-032BFB134E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22</xdr:row>
      <xdr:rowOff>177800</xdr:rowOff>
    </xdr:from>
    <xdr:to>
      <xdr:col>12</xdr:col>
      <xdr:colOff>228600</xdr:colOff>
      <xdr:row>39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26C90E6-3137-9F4D-90E5-16DFA4F37B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37B50-AB74-D246-988A-A66813BFB8EF}">
  <dimension ref="A1:C30"/>
  <sheetViews>
    <sheetView workbookViewId="0">
      <selection activeCell="M36" sqref="M36"/>
    </sheetView>
  </sheetViews>
  <sheetFormatPr baseColWidth="10" defaultRowHeight="15" x14ac:dyDescent="0.2"/>
  <cols>
    <col min="1" max="1" width="8.33203125" customWidth="1"/>
    <col min="2" max="2" width="114.5" bestFit="1" customWidth="1"/>
    <col min="3" max="3" width="8.33203125" customWidth="1"/>
  </cols>
  <sheetData>
    <row r="1" spans="1:3" x14ac:dyDescent="0.2">
      <c r="A1" s="14"/>
      <c r="B1" s="14"/>
      <c r="C1" s="14"/>
    </row>
    <row r="2" spans="1:3" x14ac:dyDescent="0.2">
      <c r="A2" s="14"/>
      <c r="B2" s="14"/>
      <c r="C2" s="14"/>
    </row>
    <row r="3" spans="1:3" x14ac:dyDescent="0.2">
      <c r="A3" s="14"/>
      <c r="B3" s="14"/>
      <c r="C3" s="14"/>
    </row>
    <row r="4" spans="1:3" x14ac:dyDescent="0.2">
      <c r="A4" s="5"/>
      <c r="B4" s="5"/>
      <c r="C4" s="5"/>
    </row>
    <row r="5" spans="1:3" x14ac:dyDescent="0.2">
      <c r="A5" s="5"/>
      <c r="B5" s="5"/>
      <c r="C5" s="5"/>
    </row>
    <row r="6" spans="1:3" x14ac:dyDescent="0.2">
      <c r="A6" s="5"/>
      <c r="B6" s="5"/>
      <c r="C6" s="5"/>
    </row>
    <row r="7" spans="1:3" x14ac:dyDescent="0.2">
      <c r="A7" s="5"/>
      <c r="B7" s="5"/>
      <c r="C7" s="5"/>
    </row>
    <row r="8" spans="1:3" ht="47" x14ac:dyDescent="0.55000000000000004">
      <c r="A8" s="5"/>
      <c r="B8" s="6" t="s">
        <v>14</v>
      </c>
      <c r="C8" s="5"/>
    </row>
    <row r="9" spans="1:3" x14ac:dyDescent="0.2">
      <c r="A9" s="5"/>
      <c r="B9" s="5"/>
      <c r="C9" s="5"/>
    </row>
    <row r="10" spans="1:3" ht="24" x14ac:dyDescent="0.3">
      <c r="A10" s="5"/>
      <c r="B10" s="7" t="s">
        <v>15</v>
      </c>
      <c r="C10" s="5"/>
    </row>
    <row r="11" spans="1:3" x14ac:dyDescent="0.2">
      <c r="A11" s="5"/>
      <c r="B11" s="5"/>
      <c r="C11" s="5"/>
    </row>
    <row r="12" spans="1:3" x14ac:dyDescent="0.2">
      <c r="A12" s="5"/>
      <c r="B12" s="8" t="s">
        <v>12</v>
      </c>
      <c r="C12" s="5"/>
    </row>
    <row r="13" spans="1:3" x14ac:dyDescent="0.2">
      <c r="A13" s="5"/>
      <c r="B13" s="5"/>
      <c r="C13" s="5"/>
    </row>
    <row r="14" spans="1:3" ht="19" x14ac:dyDescent="0.25">
      <c r="A14" s="5"/>
      <c r="B14" s="9" t="s">
        <v>16</v>
      </c>
      <c r="C14" s="5"/>
    </row>
    <row r="15" spans="1:3" x14ac:dyDescent="0.2">
      <c r="A15" s="5"/>
      <c r="B15" s="5"/>
      <c r="C15" s="5"/>
    </row>
    <row r="16" spans="1:3" x14ac:dyDescent="0.2">
      <c r="A16" s="5"/>
      <c r="B16" s="5"/>
      <c r="C16" s="5"/>
    </row>
    <row r="17" spans="1:3" x14ac:dyDescent="0.2">
      <c r="A17" s="5"/>
      <c r="B17" s="5"/>
      <c r="C17" s="5"/>
    </row>
    <row r="18" spans="1:3" ht="19" x14ac:dyDescent="0.25">
      <c r="A18" s="5"/>
      <c r="B18" s="10" t="s">
        <v>17</v>
      </c>
      <c r="C18" s="5"/>
    </row>
    <row r="19" spans="1:3" x14ac:dyDescent="0.2">
      <c r="A19" s="5"/>
      <c r="B19" s="5"/>
      <c r="C19" s="5"/>
    </row>
    <row r="20" spans="1:3" ht="16" x14ac:dyDescent="0.2">
      <c r="A20" s="5"/>
      <c r="B20" s="11" t="s">
        <v>18</v>
      </c>
      <c r="C20" s="5"/>
    </row>
    <row r="21" spans="1:3" ht="16" x14ac:dyDescent="0.2">
      <c r="A21" s="5"/>
      <c r="B21" s="11" t="s">
        <v>19</v>
      </c>
      <c r="C21" s="5"/>
    </row>
    <row r="22" spans="1:3" ht="16" x14ac:dyDescent="0.2">
      <c r="A22" s="5"/>
      <c r="B22" s="11" t="s">
        <v>20</v>
      </c>
      <c r="C22" s="5"/>
    </row>
    <row r="23" spans="1:3" x14ac:dyDescent="0.2">
      <c r="A23" s="5"/>
      <c r="B23" s="5"/>
      <c r="C23" s="5"/>
    </row>
    <row r="24" spans="1:3" ht="16" x14ac:dyDescent="0.2">
      <c r="A24" s="5"/>
      <c r="B24" s="12" t="s">
        <v>12</v>
      </c>
      <c r="C24" s="5"/>
    </row>
    <row r="25" spans="1:3" x14ac:dyDescent="0.2">
      <c r="A25" s="5"/>
      <c r="B25" s="5"/>
      <c r="C25" s="5"/>
    </row>
    <row r="26" spans="1:3" x14ac:dyDescent="0.2">
      <c r="A26" s="5"/>
      <c r="B26" s="13" t="s">
        <v>21</v>
      </c>
      <c r="C26" s="5"/>
    </row>
    <row r="27" spans="1:3" x14ac:dyDescent="0.2">
      <c r="A27" s="5"/>
      <c r="B27" s="5"/>
      <c r="C27" s="5"/>
    </row>
    <row r="28" spans="1:3" x14ac:dyDescent="0.2">
      <c r="A28" s="14"/>
      <c r="B28" s="14"/>
      <c r="C28" s="14"/>
    </row>
    <row r="29" spans="1:3" x14ac:dyDescent="0.2">
      <c r="A29" s="14"/>
      <c r="B29" s="14"/>
      <c r="C29" s="14"/>
    </row>
    <row r="30" spans="1:3" x14ac:dyDescent="0.2">
      <c r="A30" s="14"/>
      <c r="B30" s="14"/>
      <c r="C3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B7D5-71AC-AC42-9C5B-C54664299E2C}">
  <dimension ref="A1:H32"/>
  <sheetViews>
    <sheetView tabSelected="1" zoomScale="75" workbookViewId="0">
      <selection activeCell="A31" sqref="A31:H31"/>
    </sheetView>
  </sheetViews>
  <sheetFormatPr baseColWidth="10" defaultRowHeight="15" x14ac:dyDescent="0.2"/>
  <cols>
    <col min="1" max="8" width="29" customWidth="1"/>
  </cols>
  <sheetData>
    <row r="1" spans="1:8" ht="45" customHeight="1" x14ac:dyDescent="0.35">
      <c r="A1" s="16" t="s">
        <v>22</v>
      </c>
      <c r="B1" s="15"/>
      <c r="C1" s="15"/>
      <c r="D1" s="15"/>
      <c r="E1" s="15"/>
      <c r="F1" s="15"/>
      <c r="G1" s="15"/>
      <c r="H1" s="15"/>
    </row>
    <row r="2" spans="1:8" x14ac:dyDescent="0.2">
      <c r="A2" s="18" t="s">
        <v>23</v>
      </c>
      <c r="B2" s="17"/>
      <c r="C2" s="17"/>
      <c r="D2" s="17"/>
      <c r="E2" s="17"/>
      <c r="F2" s="17"/>
      <c r="G2" s="17"/>
      <c r="H2" s="17"/>
    </row>
    <row r="4" spans="1:8" ht="19" x14ac:dyDescent="0.25">
      <c r="A4" s="2" t="s">
        <v>24</v>
      </c>
      <c r="B4" s="1"/>
      <c r="C4" s="1"/>
      <c r="D4" s="1"/>
      <c r="E4" s="1"/>
      <c r="F4" s="1"/>
      <c r="G4" s="1"/>
      <c r="H4" s="1"/>
    </row>
    <row r="5" spans="1:8" ht="16" thickBot="1" x14ac:dyDescent="0.25"/>
    <row r="6" spans="1:8" x14ac:dyDescent="0.2">
      <c r="A6" s="22" t="s">
        <v>25</v>
      </c>
      <c r="B6" s="25"/>
      <c r="D6" s="32" t="s">
        <v>26</v>
      </c>
      <c r="E6" s="35"/>
      <c r="G6" s="40" t="s">
        <v>27</v>
      </c>
      <c r="H6" s="43"/>
    </row>
    <row r="7" spans="1:8" ht="37" x14ac:dyDescent="0.45">
      <c r="A7" s="23">
        <f>SUM('Original Data'!G:G)</f>
        <v>1335</v>
      </c>
      <c r="B7" s="26"/>
      <c r="D7" s="33" t="str">
        <f>INDEX(Products!A:A,MATCH(MAX(Products!B:B),Products!B:B,0))</f>
        <v>Shampoo</v>
      </c>
      <c r="E7" s="36"/>
      <c r="G7" s="41" t="str">
        <f>INDEX(Customers!A:A,MATCH(MAX(Customers!B:B),Customers!B:B,0))</f>
        <v>Ana</v>
      </c>
      <c r="H7" s="44"/>
    </row>
    <row r="8" spans="1:8" ht="16" thickBot="1" x14ac:dyDescent="0.25">
      <c r="A8" s="24" t="s">
        <v>28</v>
      </c>
      <c r="B8" s="27"/>
      <c r="D8" s="34" t="s">
        <v>29</v>
      </c>
      <c r="E8" s="37"/>
      <c r="G8" s="42" t="s">
        <v>30</v>
      </c>
      <c r="H8" s="45"/>
    </row>
    <row r="9" spans="1:8" ht="16" thickBot="1" x14ac:dyDescent="0.25"/>
    <row r="10" spans="1:8" x14ac:dyDescent="0.2">
      <c r="A10" s="48" t="s">
        <v>31</v>
      </c>
      <c r="B10" s="51"/>
      <c r="D10" s="54" t="s">
        <v>32</v>
      </c>
      <c r="E10" s="57"/>
      <c r="G10" s="60" t="s">
        <v>33</v>
      </c>
      <c r="H10" s="63"/>
    </row>
    <row r="11" spans="1:8" ht="37" x14ac:dyDescent="0.45">
      <c r="A11" s="49" t="str">
        <f>INDEX(Categories!A:A,MATCH(MAX(Categories!B:B),Categories!B:B,0))</f>
        <v>Skin Care</v>
      </c>
      <c r="B11" s="52"/>
      <c r="D11" s="55">
        <f>COUNTA('Original Data'!A:A)-1</f>
        <v>10</v>
      </c>
      <c r="E11" s="58"/>
      <c r="G11" s="61">
        <f>AVERAGE('Original Data'!G2:G100)</f>
        <v>133.5</v>
      </c>
      <c r="H11" s="64"/>
    </row>
    <row r="12" spans="1:8" ht="16" thickBot="1" x14ac:dyDescent="0.25">
      <c r="A12" s="50" t="s">
        <v>34</v>
      </c>
      <c r="B12" s="53"/>
      <c r="D12" s="56" t="s">
        <v>35</v>
      </c>
      <c r="E12" s="59"/>
      <c r="G12" s="62" t="s">
        <v>36</v>
      </c>
      <c r="H12" s="65"/>
    </row>
    <row r="14" spans="1:8" ht="19" x14ac:dyDescent="0.25">
      <c r="A14" s="66" t="s">
        <v>37</v>
      </c>
      <c r="B14" s="17"/>
      <c r="C14" s="17"/>
      <c r="D14" s="17"/>
      <c r="E14" s="17"/>
      <c r="F14" s="17"/>
      <c r="G14" s="17"/>
      <c r="H14" s="17"/>
    </row>
    <row r="15" spans="1:8" ht="25" customHeight="1" x14ac:dyDescent="0.2">
      <c r="A15" s="71" t="s">
        <v>38</v>
      </c>
      <c r="B15" s="67"/>
      <c r="C15" s="67"/>
      <c r="D15" s="67"/>
      <c r="E15" s="67"/>
      <c r="F15" s="67"/>
      <c r="G15" s="67"/>
      <c r="H15" s="75"/>
    </row>
    <row r="16" spans="1:8" ht="25" customHeight="1" x14ac:dyDescent="0.2">
      <c r="A16" s="72" t="s">
        <v>39</v>
      </c>
      <c r="B16" s="68"/>
      <c r="C16" s="68"/>
      <c r="D16" s="68"/>
      <c r="E16" s="68"/>
      <c r="F16" s="68"/>
      <c r="G16" s="68"/>
      <c r="H16" s="76"/>
    </row>
    <row r="17" spans="1:8" ht="25" customHeight="1" x14ac:dyDescent="0.2">
      <c r="A17" s="73" t="s">
        <v>40</v>
      </c>
      <c r="B17" s="69"/>
      <c r="C17" s="69"/>
      <c r="D17" s="69"/>
      <c r="E17" s="69"/>
      <c r="F17" s="69"/>
      <c r="G17" s="69"/>
      <c r="H17" s="77"/>
    </row>
    <row r="18" spans="1:8" ht="25" customHeight="1" x14ac:dyDescent="0.2">
      <c r="A18" s="74" t="s">
        <v>41</v>
      </c>
      <c r="B18" s="70"/>
      <c r="C18" s="70"/>
      <c r="D18" s="70"/>
      <c r="E18" s="70"/>
      <c r="F18" s="70"/>
      <c r="G18" s="70"/>
      <c r="H18" s="78"/>
    </row>
    <row r="19" spans="1:8" ht="40" customHeight="1" x14ac:dyDescent="0.2"/>
    <row r="20" spans="1:8" ht="19" x14ac:dyDescent="0.25">
      <c r="A20" s="79" t="s">
        <v>42</v>
      </c>
      <c r="B20" s="19"/>
      <c r="C20" s="19"/>
      <c r="D20" s="19"/>
      <c r="E20" s="19"/>
      <c r="F20" s="19"/>
      <c r="G20" s="19"/>
      <c r="H20" s="19"/>
    </row>
    <row r="21" spans="1:8" ht="22" customHeight="1" x14ac:dyDescent="0.2">
      <c r="A21" s="81" t="s">
        <v>43</v>
      </c>
      <c r="B21" s="80"/>
      <c r="C21" s="80"/>
      <c r="D21" s="80"/>
      <c r="E21" s="80"/>
      <c r="F21" s="80"/>
      <c r="G21" s="80"/>
      <c r="H21" s="89"/>
    </row>
    <row r="22" spans="1:8" ht="22" customHeight="1" x14ac:dyDescent="0.2">
      <c r="A22" s="82" t="s">
        <v>44</v>
      </c>
      <c r="B22" s="20"/>
      <c r="C22" s="20"/>
      <c r="D22" s="20"/>
      <c r="E22" s="20"/>
      <c r="F22" s="20"/>
      <c r="G22" s="20"/>
      <c r="H22" s="21"/>
    </row>
    <row r="23" spans="1:8" ht="22" customHeight="1" x14ac:dyDescent="0.2">
      <c r="A23" s="83" t="s">
        <v>45</v>
      </c>
      <c r="B23" s="38"/>
      <c r="C23" s="38"/>
      <c r="D23" s="38"/>
      <c r="E23" s="38"/>
      <c r="F23" s="38"/>
      <c r="G23" s="38"/>
      <c r="H23" s="39"/>
    </row>
    <row r="24" spans="1:8" ht="22" customHeight="1" x14ac:dyDescent="0.2">
      <c r="A24" s="84" t="s">
        <v>46</v>
      </c>
      <c r="B24" s="38"/>
      <c r="C24" s="38"/>
      <c r="D24" s="38"/>
      <c r="E24" s="38"/>
      <c r="F24" s="38"/>
      <c r="G24" s="38"/>
      <c r="H24" s="39"/>
    </row>
    <row r="25" spans="1:8" ht="22" customHeight="1" x14ac:dyDescent="0.2">
      <c r="A25" s="85" t="s">
        <v>47</v>
      </c>
      <c r="B25" s="46"/>
      <c r="C25" s="46"/>
      <c r="D25" s="46"/>
      <c r="E25" s="46"/>
      <c r="F25" s="46"/>
      <c r="G25" s="46"/>
      <c r="H25" s="47"/>
    </row>
    <row r="26" spans="1:8" ht="22" customHeight="1" x14ac:dyDescent="0.2">
      <c r="A26" s="86" t="s">
        <v>48</v>
      </c>
      <c r="B26" s="46"/>
      <c r="C26" s="46"/>
      <c r="D26" s="46"/>
      <c r="E26" s="46"/>
      <c r="F26" s="46"/>
      <c r="G26" s="46"/>
      <c r="H26" s="47"/>
    </row>
    <row r="27" spans="1:8" ht="22" customHeight="1" x14ac:dyDescent="0.2">
      <c r="A27" s="87" t="s">
        <v>49</v>
      </c>
      <c r="B27" s="28"/>
      <c r="C27" s="28"/>
      <c r="D27" s="28"/>
      <c r="E27" s="28"/>
      <c r="F27" s="28"/>
      <c r="G27" s="28"/>
      <c r="H27" s="30"/>
    </row>
    <row r="28" spans="1:8" ht="22" customHeight="1" x14ac:dyDescent="0.2">
      <c r="A28" s="88" t="s">
        <v>50</v>
      </c>
      <c r="B28" s="29"/>
      <c r="C28" s="29"/>
      <c r="D28" s="29"/>
      <c r="E28" s="29"/>
      <c r="F28" s="29"/>
      <c r="G28" s="29"/>
      <c r="H28" s="31"/>
    </row>
    <row r="30" spans="1:8" x14ac:dyDescent="0.2">
      <c r="A30" s="90" t="s">
        <v>13</v>
      </c>
      <c r="B30" s="1"/>
      <c r="C30" s="1"/>
      <c r="D30" s="1"/>
      <c r="E30" s="1"/>
      <c r="F30" s="1"/>
      <c r="G30" s="1"/>
      <c r="H30" s="1"/>
    </row>
    <row r="31" spans="1:8" x14ac:dyDescent="0.2">
      <c r="A31" s="91" t="s">
        <v>51</v>
      </c>
      <c r="B31" s="1"/>
      <c r="C31" s="1"/>
      <c r="D31" s="1"/>
      <c r="E31" s="1"/>
      <c r="F31" s="1"/>
      <c r="G31" s="1"/>
      <c r="H31" s="1"/>
    </row>
    <row r="32" spans="1:8" x14ac:dyDescent="0.2">
      <c r="A32" s="92" t="s">
        <v>52</v>
      </c>
      <c r="B32" s="1"/>
      <c r="C32" s="1"/>
      <c r="D32" s="1"/>
      <c r="E32" s="1"/>
      <c r="F32" s="1"/>
      <c r="G32" s="1"/>
      <c r="H32" s="1"/>
    </row>
  </sheetData>
  <mergeCells count="38">
    <mergeCell ref="A26:H26"/>
    <mergeCell ref="A27:H27"/>
    <mergeCell ref="A28:H28"/>
    <mergeCell ref="A30:H30"/>
    <mergeCell ref="A31:H31"/>
    <mergeCell ref="A32:H32"/>
    <mergeCell ref="A20:H20"/>
    <mergeCell ref="A21:H21"/>
    <mergeCell ref="A22:H22"/>
    <mergeCell ref="A23:H23"/>
    <mergeCell ref="A24:H24"/>
    <mergeCell ref="A25:H25"/>
    <mergeCell ref="G12:H12"/>
    <mergeCell ref="A14:H14"/>
    <mergeCell ref="A15:H15"/>
    <mergeCell ref="A16:H16"/>
    <mergeCell ref="A17:H17"/>
    <mergeCell ref="A18:H18"/>
    <mergeCell ref="G6:H6"/>
    <mergeCell ref="G7:H7"/>
    <mergeCell ref="G8:H8"/>
    <mergeCell ref="A10:B10"/>
    <mergeCell ref="A12:B12"/>
    <mergeCell ref="D10:E10"/>
    <mergeCell ref="D11:E11"/>
    <mergeCell ref="D12:E12"/>
    <mergeCell ref="G10:H10"/>
    <mergeCell ref="G11:H11"/>
    <mergeCell ref="A1:H1"/>
    <mergeCell ref="A2:H2"/>
    <mergeCell ref="A4:H4"/>
    <mergeCell ref="A6:B6"/>
    <mergeCell ref="A7:B7"/>
    <mergeCell ref="A11:B11"/>
    <mergeCell ref="A8:B8"/>
    <mergeCell ref="D6:E6"/>
    <mergeCell ref="D7:E7"/>
    <mergeCell ref="D8:E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154E8-73A3-EB44-ACCC-A68F0D01AAA7}">
  <dimension ref="A1:P41"/>
  <sheetViews>
    <sheetView topLeftCell="A2" workbookViewId="0">
      <selection activeCell="G18" sqref="G18"/>
    </sheetView>
  </sheetViews>
  <sheetFormatPr baseColWidth="10" defaultRowHeight="15" x14ac:dyDescent="0.2"/>
  <cols>
    <col min="1" max="16" width="11.6640625" customWidth="1"/>
  </cols>
  <sheetData>
    <row r="1" spans="1:16" ht="45" customHeight="1" x14ac:dyDescent="0.35">
      <c r="A1" s="16" t="s">
        <v>53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x14ac:dyDescent="0.2">
      <c r="A2" s="18" t="s">
        <v>54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ht="16" thickBot="1" x14ac:dyDescent="0.25"/>
    <row r="4" spans="1:16" x14ac:dyDescent="0.2">
      <c r="A4" s="95" t="s">
        <v>25</v>
      </c>
      <c r="B4" s="93"/>
      <c r="C4" s="25"/>
      <c r="E4" s="99" t="s">
        <v>55</v>
      </c>
      <c r="F4" s="97"/>
      <c r="G4" s="101"/>
      <c r="I4" s="105" t="s">
        <v>33</v>
      </c>
      <c r="J4" s="103"/>
      <c r="K4" s="35"/>
      <c r="M4" s="109" t="s">
        <v>56</v>
      </c>
      <c r="N4" s="107"/>
      <c r="O4" s="43"/>
    </row>
    <row r="5" spans="1:16" ht="27" thickBot="1" x14ac:dyDescent="0.35">
      <c r="A5" s="96">
        <f>SUM('Original Data'!G:G)</f>
        <v>1335</v>
      </c>
      <c r="B5" s="94"/>
      <c r="C5" s="27"/>
      <c r="E5" s="100">
        <f>COUNTA('Original Data'!A:A)-1</f>
        <v>10</v>
      </c>
      <c r="F5" s="98"/>
      <c r="G5" s="102"/>
      <c r="I5" s="106">
        <f>AVERAGE('Original Data'!G2:G100)</f>
        <v>133.5</v>
      </c>
      <c r="J5" s="104"/>
      <c r="K5" s="37"/>
      <c r="M5" s="110">
        <f>COUNTA(Customers!A:A)-1</f>
        <v>5</v>
      </c>
      <c r="N5" s="108"/>
      <c r="O5" s="45"/>
    </row>
    <row r="23" spans="1:2" x14ac:dyDescent="0.2">
      <c r="A23" s="111" t="s">
        <v>57</v>
      </c>
      <c r="B23" s="111" t="s">
        <v>58</v>
      </c>
    </row>
    <row r="24" spans="1:2" x14ac:dyDescent="0.2">
      <c r="A24" s="111" t="s">
        <v>2</v>
      </c>
      <c r="B24" s="111">
        <v>210</v>
      </c>
    </row>
    <row r="25" spans="1:2" x14ac:dyDescent="0.2">
      <c r="A25" s="111" t="s">
        <v>6</v>
      </c>
      <c r="B25" s="111">
        <v>270</v>
      </c>
    </row>
    <row r="26" spans="1:2" x14ac:dyDescent="0.2">
      <c r="A26" s="111" t="s">
        <v>7</v>
      </c>
      <c r="B26" s="111">
        <v>240</v>
      </c>
    </row>
    <row r="27" spans="1:2" x14ac:dyDescent="0.2">
      <c r="A27" s="111" t="s">
        <v>10</v>
      </c>
      <c r="B27" s="111">
        <v>420</v>
      </c>
    </row>
    <row r="28" spans="1:2" x14ac:dyDescent="0.2">
      <c r="A28" s="111" t="s">
        <v>11</v>
      </c>
      <c r="B28" s="111">
        <v>195</v>
      </c>
    </row>
    <row r="40" spans="1:16" x14ac:dyDescent="0.2">
      <c r="A40" s="90" t="s">
        <v>13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 x14ac:dyDescent="0.2">
      <c r="A41" s="91" t="s">
        <v>59</v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</row>
  </sheetData>
  <mergeCells count="12">
    <mergeCell ref="A40:P40"/>
    <mergeCell ref="A41:P41"/>
    <mergeCell ref="A1:P1"/>
    <mergeCell ref="A2:P2"/>
    <mergeCell ref="A4:C4"/>
    <mergeCell ref="A5:C5"/>
    <mergeCell ref="E4:G4"/>
    <mergeCell ref="E5:G5"/>
    <mergeCell ref="I4:K4"/>
    <mergeCell ref="I5:K5"/>
    <mergeCell ref="M4:O4"/>
    <mergeCell ref="M5:O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workbookViewId="0"/>
  </sheetViews>
  <sheetFormatPr baseColWidth="10" defaultColWidth="8.83203125" defaultRowHeight="15" x14ac:dyDescent="0.2"/>
  <cols>
    <col min="1" max="1" width="17.6640625" bestFit="1" customWidth="1"/>
    <col min="2" max="2" width="6.83203125" bestFit="1" customWidth="1"/>
    <col min="3" max="3" width="12.6640625" bestFit="1" customWidth="1"/>
    <col min="4" max="4" width="14.33203125" bestFit="1" customWidth="1"/>
    <col min="5" max="5" width="8" bestFit="1" customWidth="1"/>
    <col min="6" max="6" width="12.83203125" bestFit="1" customWidth="1"/>
    <col min="7" max="7" width="10" bestFit="1" customWidth="1"/>
    <col min="8" max="8" width="7.83203125" bestFit="1" customWidth="1"/>
  </cols>
  <sheetData>
    <row r="1" spans="1:8" x14ac:dyDescent="0.2">
      <c r="A1" s="112" t="s">
        <v>60</v>
      </c>
      <c r="B1" s="112" t="s">
        <v>61</v>
      </c>
      <c r="C1" s="112" t="s">
        <v>62</v>
      </c>
      <c r="D1" s="112" t="s">
        <v>63</v>
      </c>
      <c r="E1" s="112" t="s">
        <v>64</v>
      </c>
      <c r="F1" s="112" t="s">
        <v>65</v>
      </c>
      <c r="G1" s="112" t="s">
        <v>66</v>
      </c>
      <c r="H1" s="112" t="s">
        <v>57</v>
      </c>
    </row>
    <row r="2" spans="1:8" x14ac:dyDescent="0.2">
      <c r="A2" s="113">
        <v>45306</v>
      </c>
      <c r="B2" s="114" t="s">
        <v>0</v>
      </c>
      <c r="C2" s="114" t="s">
        <v>1</v>
      </c>
      <c r="D2" s="114" t="s">
        <v>67</v>
      </c>
      <c r="E2" s="114">
        <v>2</v>
      </c>
      <c r="F2" s="116">
        <v>45</v>
      </c>
      <c r="G2" s="116">
        <v>90</v>
      </c>
      <c r="H2" s="114" t="s">
        <v>2</v>
      </c>
    </row>
    <row r="3" spans="1:8" x14ac:dyDescent="0.2">
      <c r="A3" s="115">
        <v>45307</v>
      </c>
      <c r="B3" s="3" t="s">
        <v>3</v>
      </c>
      <c r="C3" s="3" t="s">
        <v>68</v>
      </c>
      <c r="D3" s="3" t="s">
        <v>4</v>
      </c>
      <c r="E3" s="3">
        <v>1</v>
      </c>
      <c r="F3" s="4">
        <v>120</v>
      </c>
      <c r="G3" s="4">
        <v>120</v>
      </c>
      <c r="H3" s="3" t="s">
        <v>2</v>
      </c>
    </row>
    <row r="4" spans="1:8" x14ac:dyDescent="0.2">
      <c r="A4" s="113">
        <v>45332</v>
      </c>
      <c r="B4" s="114" t="s">
        <v>5</v>
      </c>
      <c r="C4" s="114" t="s">
        <v>69</v>
      </c>
      <c r="D4" s="114" t="s">
        <v>4</v>
      </c>
      <c r="E4" s="114">
        <v>3</v>
      </c>
      <c r="F4" s="116">
        <v>60</v>
      </c>
      <c r="G4" s="116">
        <v>180</v>
      </c>
      <c r="H4" s="114" t="s">
        <v>6</v>
      </c>
    </row>
    <row r="5" spans="1:8" x14ac:dyDescent="0.2">
      <c r="A5" s="115">
        <v>45337</v>
      </c>
      <c r="B5" s="3" t="s">
        <v>3</v>
      </c>
      <c r="C5" s="3" t="s">
        <v>1</v>
      </c>
      <c r="D5" s="3" t="s">
        <v>67</v>
      </c>
      <c r="E5" s="3">
        <v>2</v>
      </c>
      <c r="F5" s="4">
        <v>45</v>
      </c>
      <c r="G5" s="4">
        <v>90</v>
      </c>
      <c r="H5" s="3" t="s">
        <v>6</v>
      </c>
    </row>
    <row r="6" spans="1:8" x14ac:dyDescent="0.2">
      <c r="A6" s="113">
        <v>45356</v>
      </c>
      <c r="B6" s="114" t="s">
        <v>0</v>
      </c>
      <c r="C6" s="114" t="s">
        <v>68</v>
      </c>
      <c r="D6" s="114" t="s">
        <v>4</v>
      </c>
      <c r="E6" s="114">
        <v>1</v>
      </c>
      <c r="F6" s="116">
        <v>120</v>
      </c>
      <c r="G6" s="116">
        <v>120</v>
      </c>
      <c r="H6" s="114" t="s">
        <v>7</v>
      </c>
    </row>
    <row r="7" spans="1:8" x14ac:dyDescent="0.2">
      <c r="A7" s="115">
        <v>45371</v>
      </c>
      <c r="B7" s="3" t="s">
        <v>8</v>
      </c>
      <c r="C7" s="3" t="s">
        <v>69</v>
      </c>
      <c r="D7" s="3" t="s">
        <v>4</v>
      </c>
      <c r="E7" s="3">
        <v>2</v>
      </c>
      <c r="F7" s="4">
        <v>60</v>
      </c>
      <c r="G7" s="4">
        <v>120</v>
      </c>
      <c r="H7" s="3" t="s">
        <v>7</v>
      </c>
    </row>
    <row r="8" spans="1:8" x14ac:dyDescent="0.2">
      <c r="A8" s="113">
        <v>45392</v>
      </c>
      <c r="B8" s="114" t="s">
        <v>9</v>
      </c>
      <c r="C8" s="114" t="s">
        <v>1</v>
      </c>
      <c r="D8" s="114" t="s">
        <v>67</v>
      </c>
      <c r="E8" s="114">
        <v>4</v>
      </c>
      <c r="F8" s="116">
        <v>45</v>
      </c>
      <c r="G8" s="116">
        <v>180</v>
      </c>
      <c r="H8" s="114" t="s">
        <v>10</v>
      </c>
    </row>
    <row r="9" spans="1:8" x14ac:dyDescent="0.2">
      <c r="A9" s="115">
        <v>45397</v>
      </c>
      <c r="B9" s="3" t="s">
        <v>8</v>
      </c>
      <c r="C9" s="3" t="s">
        <v>68</v>
      </c>
      <c r="D9" s="3" t="s">
        <v>4</v>
      </c>
      <c r="E9" s="3">
        <v>2</v>
      </c>
      <c r="F9" s="4">
        <v>120</v>
      </c>
      <c r="G9" s="4">
        <v>240</v>
      </c>
      <c r="H9" s="3" t="s">
        <v>10</v>
      </c>
    </row>
    <row r="10" spans="1:8" x14ac:dyDescent="0.2">
      <c r="A10" s="113">
        <v>45413</v>
      </c>
      <c r="B10" s="114" t="s">
        <v>5</v>
      </c>
      <c r="C10" s="114" t="s">
        <v>69</v>
      </c>
      <c r="D10" s="114" t="s">
        <v>4</v>
      </c>
      <c r="E10" s="114">
        <v>1</v>
      </c>
      <c r="F10" s="116">
        <v>60</v>
      </c>
      <c r="G10" s="116">
        <v>60</v>
      </c>
      <c r="H10" s="114" t="s">
        <v>11</v>
      </c>
    </row>
    <row r="11" spans="1:8" x14ac:dyDescent="0.2">
      <c r="A11" s="115">
        <v>45432</v>
      </c>
      <c r="B11" s="3" t="s">
        <v>3</v>
      </c>
      <c r="C11" s="3" t="s">
        <v>1</v>
      </c>
      <c r="D11" s="3" t="s">
        <v>67</v>
      </c>
      <c r="E11" s="3">
        <v>3</v>
      </c>
      <c r="F11" s="4">
        <v>45</v>
      </c>
      <c r="G11" s="4">
        <v>135</v>
      </c>
      <c r="H11" s="3" t="s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/>
  </sheetViews>
  <sheetFormatPr baseColWidth="10" defaultColWidth="8.83203125" defaultRowHeight="15" x14ac:dyDescent="0.2"/>
  <cols>
    <col min="1" max="1" width="12.83203125" bestFit="1" customWidth="1"/>
    <col min="2" max="2" width="8" bestFit="1" customWidth="1"/>
  </cols>
  <sheetData>
    <row r="1" spans="1:2" x14ac:dyDescent="0.2">
      <c r="A1" s="117" t="s">
        <v>62</v>
      </c>
      <c r="B1" s="117" t="s">
        <v>64</v>
      </c>
    </row>
    <row r="2" spans="1:2" x14ac:dyDescent="0.2">
      <c r="A2" s="118" t="s">
        <v>1</v>
      </c>
      <c r="B2" s="119">
        <v>11</v>
      </c>
    </row>
    <row r="3" spans="1:2" x14ac:dyDescent="0.2">
      <c r="A3" s="120" t="s">
        <v>69</v>
      </c>
      <c r="B3" s="3">
        <v>6</v>
      </c>
    </row>
    <row r="4" spans="1:2" x14ac:dyDescent="0.2">
      <c r="A4" s="118" t="s">
        <v>68</v>
      </c>
      <c r="B4" s="119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cols>
    <col min="1" max="1" width="6.83203125" bestFit="1" customWidth="1"/>
    <col min="2" max="2" width="10" bestFit="1" customWidth="1"/>
  </cols>
  <sheetData>
    <row r="1" spans="1:2" x14ac:dyDescent="0.2">
      <c r="A1" s="121" t="s">
        <v>61</v>
      </c>
      <c r="B1" s="121" t="s">
        <v>70</v>
      </c>
    </row>
    <row r="2" spans="1:2" x14ac:dyDescent="0.2">
      <c r="A2" s="122" t="s">
        <v>8</v>
      </c>
      <c r="B2" s="123">
        <v>360</v>
      </c>
    </row>
    <row r="3" spans="1:2" x14ac:dyDescent="0.2">
      <c r="A3" s="120" t="s">
        <v>3</v>
      </c>
      <c r="B3" s="4">
        <v>345</v>
      </c>
    </row>
    <row r="4" spans="1:2" x14ac:dyDescent="0.2">
      <c r="A4" s="122" t="s">
        <v>5</v>
      </c>
      <c r="B4" s="123">
        <v>240</v>
      </c>
    </row>
    <row r="5" spans="1:2" x14ac:dyDescent="0.2">
      <c r="A5" s="120" t="s">
        <v>0</v>
      </c>
      <c r="B5" s="4">
        <v>210</v>
      </c>
    </row>
    <row r="6" spans="1:2" x14ac:dyDescent="0.2">
      <c r="A6" s="122" t="s">
        <v>9</v>
      </c>
      <c r="B6" s="123">
        <v>180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83203125" defaultRowHeight="15" x14ac:dyDescent="0.2"/>
  <cols>
    <col min="1" max="1" width="14.5" bestFit="1" customWidth="1"/>
    <col min="2" max="2" width="10" bestFit="1" customWidth="1"/>
  </cols>
  <sheetData>
    <row r="1" spans="1:2" x14ac:dyDescent="0.2">
      <c r="A1" s="124" t="s">
        <v>63</v>
      </c>
      <c r="B1" s="124" t="s">
        <v>70</v>
      </c>
    </row>
    <row r="2" spans="1:2" x14ac:dyDescent="0.2">
      <c r="A2" s="125" t="s">
        <v>4</v>
      </c>
      <c r="B2" s="126">
        <v>840</v>
      </c>
    </row>
    <row r="3" spans="1:2" x14ac:dyDescent="0.2">
      <c r="A3" s="120" t="s">
        <v>67</v>
      </c>
      <c r="B3" s="4">
        <v>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6"/>
  <sheetViews>
    <sheetView workbookViewId="0"/>
  </sheetViews>
  <sheetFormatPr baseColWidth="10" defaultColWidth="8.83203125" defaultRowHeight="15" x14ac:dyDescent="0.2"/>
  <cols>
    <col min="1" max="1" width="8" bestFit="1" customWidth="1"/>
    <col min="2" max="2" width="10" bestFit="1" customWidth="1"/>
  </cols>
  <sheetData>
    <row r="1" spans="1:2" x14ac:dyDescent="0.2">
      <c r="A1" s="127" t="s">
        <v>57</v>
      </c>
      <c r="B1" s="127" t="s">
        <v>70</v>
      </c>
    </row>
    <row r="2" spans="1:2" x14ac:dyDescent="0.2">
      <c r="A2" s="128" t="s">
        <v>10</v>
      </c>
      <c r="B2" s="116">
        <v>420</v>
      </c>
    </row>
    <row r="3" spans="1:2" x14ac:dyDescent="0.2">
      <c r="A3" s="120" t="s">
        <v>6</v>
      </c>
      <c r="B3" s="4">
        <v>270</v>
      </c>
    </row>
    <row r="4" spans="1:2" x14ac:dyDescent="0.2">
      <c r="A4" s="128" t="s">
        <v>2</v>
      </c>
      <c r="B4" s="116">
        <v>210</v>
      </c>
    </row>
    <row r="5" spans="1:2" x14ac:dyDescent="0.2">
      <c r="A5" s="120" t="s">
        <v>7</v>
      </c>
      <c r="B5" s="4">
        <v>240</v>
      </c>
    </row>
    <row r="6" spans="1:2" x14ac:dyDescent="0.2">
      <c r="A6" s="128" t="s">
        <v>11</v>
      </c>
      <c r="B6" s="116">
        <v>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Cover Page</vt:lpstr>
      <vt:lpstr>Executive Summary</vt:lpstr>
      <vt:lpstr>Dashboard</vt:lpstr>
      <vt:lpstr>Original Data</vt:lpstr>
      <vt:lpstr>Products</vt:lpstr>
      <vt:lpstr>Customers</vt:lpstr>
      <vt:lpstr>Categories</vt:lpstr>
      <vt:lpstr>Sales by Month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Gerardo Garcia</cp:lastModifiedBy>
  <dcterms:created xsi:type="dcterms:W3CDTF">2026-05-11T21:55:27Z</dcterms:created>
  <dcterms:modified xsi:type="dcterms:W3CDTF">2026-05-11T22:56:13Z</dcterms:modified>
</cp:coreProperties>
</file>